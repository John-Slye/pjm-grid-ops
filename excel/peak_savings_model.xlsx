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B5F209EC-1917-4C56-8168-B4E7DC2F50B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eadMe" sheetId="1" r:id="rId1"/>
    <sheet name="Inputs" sheetId="2" r:id="rId2"/>
    <sheet name="Calc" sheetId="3" r:id="rId3"/>
    <sheet name="Scenarios" sheetId="4" r:id="rId4"/>
    <sheet name="Output" sheetId="5" r:id="rId5"/>
  </sheets>
  <definedNames>
    <definedName name="Alarms">Inputs!$B$12:$B$12</definedName>
    <definedName name="Cap_high">Inputs!$B$6:$B$6</definedName>
    <definedName name="Cap_low">Inputs!$B$5:$B$5</definedName>
    <definedName name="Cap_mid">Inputs!$B$4:$B$4</definedName>
    <definedName name="Capture">Inputs!$B$7:$B$7</definedName>
    <definedName name="Cost_evt">Inputs!$B$8:$B$8</definedName>
    <definedName name="GPD_rate">Inputs!$B$16:$B$16</definedName>
    <definedName name="GPD_sigma">Inputs!$B$14:$B$14</definedName>
    <definedName name="GPD_u">Inputs!$B$13:$B$13</definedName>
    <definedName name="GPD_xi">Inputs!$B$15:$B$15</definedName>
    <definedName name="Hit_high">Inputs!$B$11:$B$11</definedName>
    <definedName name="Hit_low">Inputs!$B$10:$B$10</definedName>
    <definedName name="Hit_p50">Inputs!$B$9:$B$9</definedName>
    <definedName name="MW_Curt">Inputs!$B$3:$B$3</definedName>
    <definedName name="Net_EV">Calc!$B$5:$B$5</definedName>
    <definedName name="Stress_x">Inputs!$B$17:$B$17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5" l="1" a="1"/>
  <c r="B24" i="5" s="1"/>
  <c r="B23" i="5" a="1"/>
  <c r="B23" i="5" s="1"/>
  <c r="B22" i="5" a="1"/>
  <c r="B22" i="5" s="1"/>
  <c r="B21" i="5" a="1"/>
  <c r="B21" i="5" s="1"/>
  <c r="D4" i="4" a="1"/>
  <c r="D4" i="4" s="1"/>
  <c r="C4" i="4" a="1"/>
  <c r="C4" i="4" s="1"/>
  <c r="B4" i="4" a="1"/>
  <c r="B4" i="4" s="1"/>
  <c r="D3" i="4" a="1"/>
  <c r="D3" i="4" s="1"/>
  <c r="C3" i="4" a="1"/>
  <c r="C3" i="4" s="1"/>
  <c r="B3" i="4" a="1"/>
  <c r="B3" i="4" s="1"/>
  <c r="D2" i="4" a="1"/>
  <c r="D2" i="4" s="1"/>
  <c r="C2" i="4" a="1"/>
  <c r="C2" i="4" s="1"/>
  <c r="B2" i="4" a="1"/>
  <c r="B2" i="4"/>
  <c r="B6" i="3" a="1"/>
  <c r="B6" i="3"/>
  <c r="B4" i="3" a="1"/>
  <c r="B4" i="3"/>
  <c r="B3" i="3" a="1"/>
  <c r="B3" i="3"/>
  <c r="B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<sst xmlns="http://schemas.openxmlformats.org/spreadsheetml/2006/main" count="58" uniqueCount="54">
  <si>
    <t>PJM Peak-Day Early Warning: Expected Savings Model</t>
  </si>
  <si>
    <t>Estimates annual savings per MW of curtailable load from predicting PJM's top-5 summer peak days.</t>
  </si>
  <si>
    <t>Editable cells: Inputs sheet only, blue font. All other sheets are calculated.</t>
  </si>
  <si>
    <t>Backtest basis: 2019–2025 summers, leave-one-summer-out; see repo DECISIONS.md.</t>
  </si>
  <si>
    <t>https://github.com/John-Slye</t>
  </si>
  <si>
    <t>https://public.tableau.com/app/profile/john.slye/viz/PJMPeak-DayEarlyWarningSeven-SummerBacktestEconomics_17847366384910/PJMPeak-DayEarlyWarningSeven-SummerBacktestEconomics?publish=yes</t>
  </si>
  <si>
    <t>John Slye, July 2026</t>
  </si>
  <si>
    <t>INPUTS: edit blue cells only</t>
  </si>
  <si>
    <t>Label</t>
  </si>
  <si>
    <t>Value</t>
  </si>
  <si>
    <t>Source</t>
  </si>
  <si>
    <t>Curtailable Load</t>
  </si>
  <si>
    <t>MW</t>
  </si>
  <si>
    <t>Capacity rate: mid</t>
  </si>
  <si>
    <t>$/MW-day UCAP, 2026/27 BRA, pjm.com</t>
  </si>
  <si>
    <t>Capacity rate: Low</t>
  </si>
  <si>
    <t>2025/26 BRA, RTO</t>
  </si>
  <si>
    <t>Capacity rate: high</t>
  </si>
  <si>
    <t>2027/28 BRA</t>
  </si>
  <si>
    <t>Capture efficiency</t>
  </si>
  <si>
    <t>assumption: peak-hour coverage x curtail depth</t>
  </si>
  <si>
    <t>Cost per curtailment event</t>
  </si>
  <si>
    <t>$/event/MW, assumption: swept in Scenarios</t>
  </si>
  <si>
    <t>Hit rate (nested backtest)</t>
  </si>
  <si>
    <t>34/35, LOSO nested</t>
  </si>
  <si>
    <t>Hit rate: conservative</t>
  </si>
  <si>
    <t>32/35, worst noise seed</t>
  </si>
  <si>
    <t>Hit rate: pooled</t>
  </si>
  <si>
    <t>35/35, pooled tau=0.10</t>
  </si>
  <si>
    <t>Alarms per summer (median)</t>
  </si>
  <si>
    <t>nested backtest</t>
  </si>
  <si>
    <t>GPD threshold u</t>
  </si>
  <si>
    <t>extracts/gpd_params.csv</t>
  </si>
  <si>
    <t>GPD scale sigma</t>
  </si>
  <si>
    <t>same</t>
  </si>
  <si>
    <t>GPD shape xi</t>
  </si>
  <si>
    <t>Exceedances of u per summer</t>
  </si>
  <si>
    <t>36 events / 7 summers</t>
  </si>
  <si>
    <t>Stress peak to test</t>
  </si>
  <si>
    <t>MW: must exceed GPD_u</t>
  </si>
  <si>
    <t>CALCULATIONS: do not edit</t>
  </si>
  <si>
    <t>label</t>
  </si>
  <si>
    <t>Gross savings ($/yr)</t>
  </si>
  <si>
    <t>Alarm Cost ($/yr)</t>
  </si>
  <si>
    <t>Net EV ($/yr)</t>
  </si>
  <si>
    <t>Expected exceedances of stress peak per summer</t>
  </si>
  <si>
    <t>≈ once per 44 summers</t>
  </si>
  <si>
    <t>Net EV by hit rate and capacity rate</t>
  </si>
  <si>
    <t>269.92</t>
  </si>
  <si>
    <t>329.17</t>
  </si>
  <si>
    <t>333.44</t>
  </si>
  <si>
    <t>Rows = hit rate. Columns = capacity rate in $/MW-day. Cell values = net $ per year at the MW level set on Inputs.</t>
  </si>
  <si>
    <t>Recommendation: adopt the peak-day alarm at tau = 0.10. At current capacity prices and 10 MW curtailable, expected net value ~ $692k/yr ($470k-$733k across rate and hit-rate scenarios; bootstrap p10-p90 over summers ~ $69k-77k per MW).</t>
  </si>
  <si>
    <t>Sensitivity: cost per curtailment event would need to reach ~$5,100/event (2.5x the assumption) before the conservative corner (low rate, worst hit rate) turns negative; the central scenario breaks even near ~$6,600/event. Event cost is therefore the model's most sensitive assumption and is kept as an editable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</si>
</sst>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&quot;$&quot;#,##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Font="1"/>
    <xf numFmtId="164" fontId="0" fillId="0" borderId="0" xfId="0" applyNumberFormat="1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 readingOrder="1"/>
    </xf>
    <xf numFmtId="165" fontId="0" fillId="0" borderId="0" xfId="0" applyNumberFormat="1"/>
    <xf numFmtId="43" fontId="3" fillId="0" borderId="0" xfId="0" applyNumberFormat="1" applyFont="1"/>
  </cellXfs>
  <cellStyles count="2">
    <cellStyle name="Hyperlink" xfId="1" builtinId="8"/>
    <cellStyle name="Normal" xfId="0" builtinId="0"/>
  </cellStyles>
  <dxfs count="6">
    <dxf>
      <numFmt numFmtId="164" formatCode="&quot;$&quot;#,##0.0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35" formatCode="_(* #,##0.00_);_(* \(#,##0.0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EV vs curtailable MW (mid rate, nested hit rate)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Output!$B$20</c:f>
              <c:strCache>
                <c:ptCount val="1"/>
                <c:pt idx="0">
                  <c:v>Net EV ($/yr)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Output!$A$21:$A$24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</c:numCache>
            </c:numRef>
          </c:xVal>
          <c:yVal>
            <c:numRef>
              <c:f>Output!$B$21:$B$24</c:f>
              <c:numCache>
                <c:formatCode>"$"#,##0.00</c:formatCode>
                <c:ptCount val="4"/>
                <c:pt idx="0">
                  <c:v>345816.83858750004</c:v>
                </c:pt>
                <c:pt idx="1">
                  <c:v>691633.67717500008</c:v>
                </c:pt>
                <c:pt idx="2">
                  <c:v>1383267.3543500002</c:v>
                </c:pt>
                <c:pt idx="3">
                  <c:v>3458168.3858749997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7-4269-AB6A-50A6D4744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49544"/>
        <c:axId val="47285768"/>
      </c:scatterChart>
      <c:valAx>
        <c:axId val="8204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5768"/>
        <c:crosses val="autoZero"/>
        <c:crossBetween val="midCat"/>
      </c:valAx>
      <c:valAx>
        <c:axId val="4728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9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523875</xdr:colOff>
      <xdr:row>18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A5F4E56-DF77-4BC2-BB8B-FB954B339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7DD10A-9D67-4BC0-B3DE-245FA062440B}" name="Table2" displayName="Table2" ref="A2:C17" totalsRowShown="0">
  <autoFilter ref="A2:C17" xr:uid="{D87DD10A-9D67-4BC0-B3DE-245FA062440B}"/>
  <tableColumns count="3">
    <tableColumn id="1" xr3:uid="{858ABA57-BEF6-4B60-BAE6-CED46BD20EAA}" name="Label"/>
    <tableColumn id="2" xr3:uid="{7D5F8EFC-C719-4CFA-9311-D1FE5BCD1011}" name="Value" dataDxfId="5"/>
    <tableColumn id="3" xr3:uid="{87D14272-21B1-40FE-A8D4-66E1A4BF6AF6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7BE8D-8D4A-402D-977F-D5212A79EA44}" name="Table4" displayName="Table4" ref="A2:B6" totalsRowShown="0">
  <autoFilter ref="A2:B6" xr:uid="{8437BE8D-8D4A-402D-977F-D5212A79EA44}"/>
  <tableColumns count="2">
    <tableColumn id="1" xr3:uid="{0147E0A7-8ABB-44F1-B4C8-2ECB05CDA74B}" name="label"/>
    <tableColumn id="2" xr3:uid="{69F1B0CA-E538-4574-A4D1-F41D28B433F3}" name="Valu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1B521E-531F-4CEA-A18C-DE4AF9005A81}" name="Table5" displayName="Table5" ref="A1:D4" totalsRowShown="0">
  <autoFilter ref="A1:D4" xr:uid="{401B521E-531F-4CEA-A18C-DE4AF9005A81}"/>
  <tableColumns count="4">
    <tableColumn id="1" xr3:uid="{5E44EBD4-4EFD-4E24-906A-537306C0585A}" name="Net EV by hit rate and capacity rate"/>
    <tableColumn id="2" xr3:uid="{198E1701-5AFE-4A62-96BB-A782A6A2E27B}" name="269.92" dataDxfId="3">
      <calculatedColumnFormula array="1">B$1*365*MW_Curt*$A2*Capture-Alarms*Cost_evt*MW_Curt</calculatedColumnFormula>
    </tableColumn>
    <tableColumn id="3" xr3:uid="{DF9FAB74-50C1-4D87-B194-37C58CF50227}" name="329.17" dataDxfId="2">
      <calculatedColumnFormula array="1">C$1*365*MW_Curt*$A2*Capture-Alarms*Cost_evt*MW_Curt</calculatedColumnFormula>
    </tableColumn>
    <tableColumn id="4" xr3:uid="{E4760B8F-BDBD-47B7-900F-0E06C1734E74}" name="333.44" dataDxfId="1">
      <calculatedColumnFormula array="1">D$1*365*MW_Curt*$A2*Capture-Alarms*Cost_evt*MW_Curt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8BA315-5E2E-4962-AA63-C167043BD26F}" name="Table6" displayName="Table6" ref="A20:B24" totalsRowShown="0">
  <autoFilter ref="A20:B24" xr:uid="{CE8BA315-5E2E-4962-AA63-C167043BD26F}"/>
  <tableColumns count="2">
    <tableColumn id="1" xr3:uid="{FDF499E0-DA1C-4C4E-9D3C-DFF8855157AE}" name="MW"/>
    <tableColumn id="2" xr3:uid="{39DE0687-A40D-43C7-9290-5C3241339C7A}" name="Net EV ($/yr)" dataDxfId="0">
      <calculatedColumnFormula array="1">Cap_mid*365*A21*Hit_p50*Capture-Alarms*Cost_evt*A21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ohn-Slye" TargetMode="External"/><Relationship Id="rId1" Type="http://schemas.openxmlformats.org/officeDocument/2006/relationships/hyperlink" Target="https://public.tableau.com/app/profile/john.slye/viz/PJMPeak-DayEarlyWarningSeven-SummerBacktestEconomics_17847366384910/PJMPeak-DayEarlyWarningSeven-SummerBacktestEconomics?publish=y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D9" sqref="D9"/>
    </sheetView>
  </sheetViews>
  <sheetFormatPr defaultRowHeight="15"/>
  <sheetData>
    <row r="1" spans="1:1">
      <c r="A1" s="2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t="s">
        <v>6</v>
      </c>
    </row>
  </sheetData>
  <hyperlinks>
    <hyperlink ref="A6" r:id="rId1" xr:uid="{12F8223A-80EF-4908-B52A-D0C38CFA7D11}"/>
    <hyperlink ref="A5" r:id="rId2" xr:uid="{9AC34370-819E-4092-B612-559C6D7AA3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B79C-7D59-48A6-9BBB-E9E12DB7AE71}">
  <dimension ref="A1:D17"/>
  <sheetViews>
    <sheetView workbookViewId="0">
      <selection activeCell="B18" sqref="B18"/>
    </sheetView>
  </sheetViews>
  <sheetFormatPr defaultRowHeight="15"/>
  <cols>
    <col min="1" max="1" width="27.85546875" bestFit="1" customWidth="1"/>
    <col min="2" max="2" width="11.85546875" bestFit="1" customWidth="1"/>
    <col min="3" max="3" width="45.7109375" customWidth="1"/>
    <col min="4" max="4" width="11.42578125" bestFit="1" customWidth="1"/>
  </cols>
  <sheetData>
    <row r="1" spans="1:4">
      <c r="A1" s="2" t="s">
        <v>7</v>
      </c>
      <c r="B1" s="2"/>
      <c r="C1" s="2"/>
      <c r="D1" s="2"/>
    </row>
    <row r="2" spans="1:4">
      <c r="A2" t="s">
        <v>8</v>
      </c>
      <c r="B2" s="3" t="s">
        <v>9</v>
      </c>
      <c r="C2" t="s">
        <v>10</v>
      </c>
    </row>
    <row r="3" spans="1:4">
      <c r="A3" t="s">
        <v>11</v>
      </c>
      <c r="B3" s="9">
        <v>10</v>
      </c>
      <c r="C3" t="s">
        <v>12</v>
      </c>
    </row>
    <row r="4" spans="1:4">
      <c r="A4" t="s">
        <v>13</v>
      </c>
      <c r="B4" s="9">
        <v>329.17</v>
      </c>
      <c r="C4" t="s">
        <v>14</v>
      </c>
    </row>
    <row r="5" spans="1:4">
      <c r="A5" t="s">
        <v>15</v>
      </c>
      <c r="B5" s="9">
        <v>269.92</v>
      </c>
      <c r="C5" t="s">
        <v>16</v>
      </c>
    </row>
    <row r="6" spans="1:4">
      <c r="A6" t="s">
        <v>17</v>
      </c>
      <c r="B6" s="9">
        <v>333.44</v>
      </c>
      <c r="C6" t="s">
        <v>18</v>
      </c>
    </row>
    <row r="7" spans="1:4">
      <c r="A7" t="s">
        <v>19</v>
      </c>
      <c r="B7" s="9">
        <v>0.85</v>
      </c>
      <c r="C7" t="s">
        <v>20</v>
      </c>
    </row>
    <row r="8" spans="1:4">
      <c r="A8" t="s">
        <v>21</v>
      </c>
      <c r="B8" s="9">
        <v>2000</v>
      </c>
      <c r="C8" t="s">
        <v>22</v>
      </c>
    </row>
    <row r="9" spans="1:4">
      <c r="A9" t="s">
        <v>23</v>
      </c>
      <c r="B9" s="9">
        <v>0.97099999999999997</v>
      </c>
      <c r="C9" t="s">
        <v>24</v>
      </c>
    </row>
    <row r="10" spans="1:4">
      <c r="A10" t="s">
        <v>25</v>
      </c>
      <c r="B10" s="9">
        <v>0.91400000000000003</v>
      </c>
      <c r="C10" t="s">
        <v>26</v>
      </c>
    </row>
    <row r="11" spans="1:4">
      <c r="A11" t="s">
        <v>27</v>
      </c>
      <c r="B11" s="9">
        <v>1</v>
      </c>
      <c r="C11" t="s">
        <v>28</v>
      </c>
    </row>
    <row r="12" spans="1:4">
      <c r="A12" t="s">
        <v>29</v>
      </c>
      <c r="B12" s="9">
        <v>15</v>
      </c>
      <c r="C12" t="s">
        <v>30</v>
      </c>
    </row>
    <row r="13" spans="1:4">
      <c r="A13" t="s">
        <v>31</v>
      </c>
      <c r="B13" s="9">
        <v>140506.5</v>
      </c>
      <c r="C13" t="s">
        <v>32</v>
      </c>
    </row>
    <row r="14" spans="1:4">
      <c r="A14" t="s">
        <v>33</v>
      </c>
      <c r="B14" s="9">
        <v>4251.0959999999995</v>
      </c>
      <c r="C14" t="s">
        <v>34</v>
      </c>
    </row>
    <row r="15" spans="1:4">
      <c r="A15" t="s">
        <v>35</v>
      </c>
      <c r="B15" s="9">
        <v>2.2605030000000002E-2</v>
      </c>
      <c r="C15" t="s">
        <v>34</v>
      </c>
    </row>
    <row r="16" spans="1:4">
      <c r="A16" t="s">
        <v>36</v>
      </c>
      <c r="B16" s="9">
        <v>5.1428570000000002</v>
      </c>
      <c r="C16" t="s">
        <v>37</v>
      </c>
    </row>
    <row r="17" spans="1:3">
      <c r="A17" t="s">
        <v>38</v>
      </c>
      <c r="B17" s="9">
        <v>165000</v>
      </c>
      <c r="C17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2978-0022-4645-B4B1-E4A4124A39C7}">
  <dimension ref="A1:C6"/>
  <sheetViews>
    <sheetView tabSelected="1" workbookViewId="0">
      <selection activeCell="C2" sqref="C2:C6"/>
    </sheetView>
  </sheetViews>
  <sheetFormatPr defaultRowHeight="15"/>
  <cols>
    <col min="1" max="1" width="30.7109375" bestFit="1" customWidth="1"/>
    <col min="2" max="2" width="14.42578125" bestFit="1" customWidth="1"/>
  </cols>
  <sheetData>
    <row r="1" spans="1:3">
      <c r="A1" s="2" t="s">
        <v>40</v>
      </c>
    </row>
    <row r="2" spans="1:3">
      <c r="A2" t="s">
        <v>41</v>
      </c>
      <c r="B2" t="s">
        <v>9</v>
      </c>
    </row>
    <row r="3" spans="1:3">
      <c r="A3" t="s">
        <v>42</v>
      </c>
      <c r="B3" s="8" cm="1">
        <f t="array" ref="B3">Cap_mid*365*MW_Curt*Hit_p50*Capture</f>
        <v>991633.67717500008</v>
      </c>
    </row>
    <row r="4" spans="1:3">
      <c r="A4" t="s">
        <v>43</v>
      </c>
      <c r="B4" s="8" cm="1">
        <f t="array" ref="B4">Alarms*Cost_evt*MW_Curt</f>
        <v>300000</v>
      </c>
    </row>
    <row r="5" spans="1:3">
      <c r="A5" t="s">
        <v>44</v>
      </c>
      <c r="B5" s="8">
        <f>B3-B4</f>
        <v>691633.67717500008</v>
      </c>
    </row>
    <row r="6" spans="1:3">
      <c r="A6" t="s">
        <v>45</v>
      </c>
      <c r="B6" cm="1">
        <f t="array" ref="B6">GPD_rate*(1+GPD_xi*(Stress_x-GPD_u)/GPD_sigma)^(-1/GPD_xi)</f>
        <v>2.2855413697787819E-2</v>
      </c>
      <c r="C6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26EA-6747-4BF5-B00B-1BD2AF9591EA}">
  <dimension ref="A1:D6"/>
  <sheetViews>
    <sheetView workbookViewId="0">
      <selection activeCell="E9" sqref="E9"/>
    </sheetView>
  </sheetViews>
  <sheetFormatPr defaultRowHeight="15"/>
  <cols>
    <col min="1" max="1" width="30.7109375" bestFit="1" customWidth="1"/>
    <col min="2" max="4" width="14.42578125" bestFit="1" customWidth="1"/>
  </cols>
  <sheetData>
    <row r="1" spans="1:4">
      <c r="A1" t="s">
        <v>47</v>
      </c>
      <c r="B1" t="s">
        <v>48</v>
      </c>
      <c r="C1" t="s">
        <v>49</v>
      </c>
      <c r="D1" t="s">
        <v>50</v>
      </c>
    </row>
    <row r="2" spans="1:4">
      <c r="A2" s="5">
        <v>0.91400000000000003</v>
      </c>
      <c r="B2" s="8" cm="1">
        <f t="array" ref="B2">B$1*365*MW_Curt*$A2*Capture-Alarms*Cost_evt*MW_Curt</f>
        <v>465408.0952000001</v>
      </c>
      <c r="C2" s="8" cm="1">
        <f t="array" ref="C2">C$1*365*MW_Curt*$A2*Capture-Alarms*Cost_evt*MW_Curt</f>
        <v>633422.43145000003</v>
      </c>
      <c r="D2" s="8" cm="1">
        <f t="array" ref="D2">D$1*365*MW_Curt*$A2*Capture-Alarms*Cost_evt*MW_Curt</f>
        <v>645530.80640000012</v>
      </c>
    </row>
    <row r="3" spans="1:4">
      <c r="A3">
        <v>0.97099999999999997</v>
      </c>
      <c r="B3" s="8" cm="1">
        <f t="array" ref="B3">B$1*365*MW_Curt*$A3*Capture-Alarms*Cost_evt*MW_Curt</f>
        <v>513141.42279999994</v>
      </c>
      <c r="C3" s="8" cm="1">
        <f t="array" ref="C3">C$1*365*MW_Curt*$A3*Capture-Alarms*Cost_evt*MW_Curt</f>
        <v>691633.67717500008</v>
      </c>
      <c r="D3" s="8" cm="1">
        <f t="array" ref="D3">D$1*365*MW_Curt*$A3*Capture-Alarms*Cost_evt*MW_Curt</f>
        <v>704497.16959999991</v>
      </c>
    </row>
    <row r="4" spans="1:4">
      <c r="A4">
        <v>1</v>
      </c>
      <c r="B4" s="8" cm="1">
        <f t="array" ref="B4">B$1*365*MW_Curt*$A4*Capture-Alarms*Cost_evt*MW_Curt</f>
        <v>537426.79999999993</v>
      </c>
      <c r="C4" s="8" cm="1">
        <f t="array" ref="C4">C$1*365*MW_Curt*$A4*Capture-Alarms*Cost_evt*MW_Curt</f>
        <v>721249.92499999993</v>
      </c>
      <c r="D4" s="8" cm="1">
        <f t="array" ref="D4">D$1*365*MW_Curt*$A4*Capture-Alarms*Cost_evt*MW_Curt</f>
        <v>734497.6</v>
      </c>
    </row>
    <row r="6" spans="1:4">
      <c r="A6" t="s">
        <v>51</v>
      </c>
    </row>
  </sheetData>
  <conditionalFormatting sqref="B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63EA-3C22-44B1-96B2-D1194808B56C}">
  <dimension ref="A1:B24"/>
  <sheetViews>
    <sheetView topLeftCell="A9" workbookViewId="0">
      <selection activeCell="C3" sqref="C3"/>
    </sheetView>
  </sheetViews>
  <sheetFormatPr defaultRowHeight="15"/>
  <cols>
    <col min="1" max="1" width="50" customWidth="1"/>
    <col min="2" max="2" width="15" bestFit="1" customWidth="1"/>
    <col min="5" max="5" width="13.7109375" bestFit="1" customWidth="1"/>
  </cols>
  <sheetData>
    <row r="1" spans="1:1" ht="76.5">
      <c r="A1" s="6" t="s">
        <v>52</v>
      </c>
    </row>
    <row r="3" spans="1:1" ht="91.5">
      <c r="A3" s="7" t="s">
        <v>53</v>
      </c>
    </row>
    <row r="20" spans="1:2">
      <c r="A20" t="s">
        <v>12</v>
      </c>
      <c r="B20" t="s">
        <v>44</v>
      </c>
    </row>
    <row r="21" spans="1:2">
      <c r="A21">
        <v>5</v>
      </c>
      <c r="B21" s="4" cm="1">
        <f t="array" ref="B21">Cap_mid*365*A21*Hit_p50*Capture-Alarms*Cost_evt*A21</f>
        <v>345816.83858750004</v>
      </c>
    </row>
    <row r="22" spans="1:2">
      <c r="A22">
        <v>10</v>
      </c>
      <c r="B22" s="4" cm="1">
        <f t="array" ref="B22">Cap_mid*365*A22*Hit_p50*Capture-Alarms*Cost_evt*A22</f>
        <v>691633.67717500008</v>
      </c>
    </row>
    <row r="23" spans="1:2">
      <c r="A23">
        <v>20</v>
      </c>
      <c r="B23" s="4" cm="1">
        <f t="array" ref="B23">Cap_mid*365*A23*Hit_p50*Capture-Alarms*Cost_evt*A23</f>
        <v>1383267.3543500002</v>
      </c>
    </row>
    <row r="24" spans="1:2">
      <c r="A24">
        <v>50</v>
      </c>
      <c r="B24" s="4" cm="1">
        <f t="array" ref="B24">Cap_mid*365*A24*Hit_p50*Capture-Alarms*Cost_evt*A24</f>
        <v>3458168.3858749997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2026-07-22T16:45:54Z</dcterms:created>
  <dcterms:modified xsi:type="dcterms:W3CDTF">2026-07-23T16:57:20Z</dcterms:modified>
  <cp:category/>
  <cp:contentStatus/>
</cp:coreProperties>
</file>